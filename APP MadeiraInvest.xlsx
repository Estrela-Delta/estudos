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rmes.oliveira\Documents\"/>
    </mc:Choice>
  </mc:AlternateContent>
  <xr:revisionPtr revIDLastSave="0" documentId="8_{CE380BDE-55AE-4F40-A02D-7A6C7A162085}" xr6:coauthVersionLast="47" xr6:coauthVersionMax="47" xr10:uidLastSave="{00000000-0000-0000-0000-000000000000}"/>
  <bookViews>
    <workbookView xWindow="28680" yWindow="-120" windowWidth="29040" windowHeight="15720" tabRatio="655" xr2:uid="{1502ED6C-BB66-417A-87D9-DC93C5E39BE3}"/>
  </bookViews>
  <sheets>
    <sheet name="APP" sheetId="1" r:id="rId1"/>
    <sheet name="Apoio" sheetId="2" r:id="rId2"/>
  </sheets>
  <definedNames>
    <definedName name="aporte">APP!$D$15</definedName>
    <definedName name="patrimonio">APP!$D$18</definedName>
    <definedName name="qtd_anos">APP!$D$16</definedName>
    <definedName name="rendimento_carteira">APP!$D$11</definedName>
    <definedName name="salario">APP!$D$10</definedName>
    <definedName name="susgestao_insvestmeto">APP!$D$12</definedName>
    <definedName name="taxa_mensal">APP!$D$17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1" l="1"/>
  <c r="C34" i="1"/>
  <c r="C35" i="1"/>
  <c r="C36" i="1"/>
  <c r="C37" i="1"/>
  <c r="C32" i="1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29" i="1"/>
  <c r="D18" i="1"/>
  <c r="D19" i="1" s="1"/>
  <c r="D12" i="1"/>
  <c r="C23" i="1"/>
  <c r="D23" i="1" s="1"/>
  <c r="C24" i="1"/>
  <c r="D24" i="1" s="1"/>
  <c r="C25" i="1"/>
  <c r="D25" i="1" s="1"/>
  <c r="C26" i="1"/>
  <c r="D26" i="1" s="1"/>
  <c r="C22" i="1"/>
  <c r="D22" i="1" s="1"/>
  <c r="D32" i="1" l="1"/>
  <c r="D36" i="1"/>
  <c r="D37" i="1"/>
  <c r="D35" i="1"/>
  <c r="D34" i="1"/>
  <c r="D33" i="1"/>
  <c r="D38" i="1" l="1"/>
</calcChain>
</file>

<file path=xl/sharedStrings.xml><?xml version="1.0" encoding="utf-8"?>
<sst xmlns="http://schemas.openxmlformats.org/spreadsheetml/2006/main" count="69" uniqueCount="33">
  <si>
    <t>Quanto investir por mês?</t>
  </si>
  <si>
    <t>Por quantos anos?</t>
  </si>
  <si>
    <t>Taxa de rendimento mensal?</t>
  </si>
  <si>
    <t>Patrimônio acumulado?</t>
  </si>
  <si>
    <t>Dividendos mensais?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</si>
  <si>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</si>
  <si>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</si>
  <si>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</si>
  <si>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</si>
  <si>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</si>
  <si>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</si>
  <si>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Cernários</t>
  </si>
  <si>
    <t>Dividendo</t>
  </si>
  <si>
    <t>Rendimento Carteira</t>
  </si>
  <si>
    <t>Salário</t>
  </si>
  <si>
    <t>CONFIGURAÇÕES</t>
  </si>
  <si>
    <t>Conservador</t>
  </si>
  <si>
    <t>Moderado</t>
  </si>
  <si>
    <t>Agressivo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</si>
  <si>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</si>
  <si>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</si>
  <si>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</si>
  <si>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</si>
  <si>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</si>
  <si>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</si>
  <si>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</si>
  <si>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HIBRIDO</t>
  </si>
  <si>
    <t>FOFOs</t>
  </si>
  <si>
    <t>DESENVOLVIMENTO</t>
  </si>
  <si>
    <t>HOTELARIAS</t>
  </si>
  <si>
    <t>%</t>
  </si>
  <si>
    <t>Sugestão de Investimento (30%)</t>
  </si>
  <si>
    <t>CHAVE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</si>
</sst>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8" formatCode="&quot;R$&quot;\ #,##0.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8"/>
      <color theme="0"/>
      <name val="Aptos Black"/>
      <family val="2"/>
    </font>
    <font>
      <b/>
      <sz val="20"/>
      <color theme="0"/>
      <name val="Aptos Black"/>
      <family val="2"/>
    </font>
    <font>
      <b/>
      <sz val="10"/>
      <color theme="0"/>
      <name val="Aptos Black"/>
      <family val="2"/>
    </font>
    <font>
      <b/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-0.49998474074526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medium">
        <color indexed="64"/>
      </right>
      <top style="hair">
        <color theme="0" tint="-0.24994659260841701"/>
      </top>
      <bottom style="hair">
        <color theme="0" tint="-0.24994659260841701"/>
      </bottom>
      <diagonal/>
    </border>
    <border>
      <left style="medium">
        <color indexed="64"/>
      </left>
      <right style="hair">
        <color theme="0" tint="-0.24994659260841701"/>
      </right>
      <top style="hair">
        <color theme="0" tint="-0.24994659260841701"/>
      </top>
      <bottom style="medium">
        <color indexed="64"/>
      </bottom>
      <diagonal/>
    </border>
    <border>
      <left style="hair">
        <color theme="0" tint="-0.24994659260841701"/>
      </left>
      <right style="medium">
        <color indexed="64"/>
      </right>
      <top style="hair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hair">
        <color theme="0" tint="-0.24994659260841701"/>
      </right>
      <top style="medium">
        <color indexed="64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medium">
        <color indexed="64"/>
      </top>
      <bottom style="hair">
        <color theme="0" tint="-0.24994659260841701"/>
      </bottom>
      <diagonal/>
    </border>
    <border>
      <left style="hair">
        <color theme="0" tint="-0.24994659260841701"/>
      </left>
      <right style="medium">
        <color indexed="64"/>
      </right>
      <top style="medium">
        <color indexed="64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0" fontId="0" fillId="5" borderId="0" xfId="0" applyFill="1"/>
    <xf numFmtId="9" fontId="0" fillId="0" borderId="0" xfId="0" applyNumberFormat="1" applyAlignment="1">
      <alignment horizontal="center"/>
    </xf>
    <xf numFmtId="10" fontId="0" fillId="0" borderId="2" xfId="0" applyNumberFormat="1" applyBorder="1" applyAlignment="1">
      <alignment horizontal="center"/>
    </xf>
    <xf numFmtId="168" fontId="0" fillId="0" borderId="4" xfId="0" applyNumberFormat="1" applyBorder="1" applyAlignment="1">
      <alignment horizontal="center"/>
    </xf>
    <xf numFmtId="0" fontId="7" fillId="6" borderId="5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168" fontId="0" fillId="0" borderId="2" xfId="0" applyNumberFormat="1" applyBorder="1" applyAlignment="1">
      <alignment horizontal="center"/>
    </xf>
    <xf numFmtId="0" fontId="8" fillId="4" borderId="5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168" fontId="4" fillId="0" borderId="2" xfId="1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0" fontId="4" fillId="0" borderId="2" xfId="2" applyNumberFormat="1" applyFont="1" applyBorder="1" applyAlignment="1">
      <alignment horizontal="center"/>
    </xf>
    <xf numFmtId="8" fontId="4" fillId="3" borderId="2" xfId="0" applyNumberFormat="1" applyFont="1" applyFill="1" applyBorder="1" applyAlignment="1">
      <alignment horizontal="center"/>
    </xf>
    <xf numFmtId="8" fontId="4" fillId="3" borderId="4" xfId="0" applyNumberFormat="1" applyFont="1" applyFill="1" applyBorder="1" applyAlignment="1">
      <alignment horizontal="center"/>
    </xf>
    <xf numFmtId="0" fontId="8" fillId="4" borderId="5" xfId="0" applyFont="1" applyFill="1" applyBorder="1" applyAlignment="1">
      <alignment horizontal="left" vertical="center"/>
    </xf>
    <xf numFmtId="0" fontId="8" fillId="4" borderId="6" xfId="0" applyFont="1" applyFill="1" applyBorder="1" applyAlignment="1">
      <alignment horizontal="left" vertical="center"/>
    </xf>
    <xf numFmtId="0" fontId="9" fillId="4" borderId="7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indent="3"/>
    </xf>
    <xf numFmtId="0" fontId="10" fillId="3" borderId="8" xfId="0" applyFont="1" applyFill="1" applyBorder="1" applyAlignment="1">
      <alignment horizontal="left" indent="3"/>
    </xf>
    <xf numFmtId="0" fontId="10" fillId="3" borderId="3" xfId="0" applyFont="1" applyFill="1" applyBorder="1" applyAlignment="1">
      <alignment horizontal="left" indent="3"/>
    </xf>
    <xf numFmtId="0" fontId="10" fillId="3" borderId="9" xfId="0" applyFont="1" applyFill="1" applyBorder="1" applyAlignment="1">
      <alignment horizontal="left" indent="3"/>
    </xf>
    <xf numFmtId="0" fontId="6" fillId="3" borderId="1" xfId="0" applyFont="1" applyFill="1" applyBorder="1" applyAlignment="1">
      <alignment horizontal="left" indent="3"/>
    </xf>
    <xf numFmtId="0" fontId="6" fillId="3" borderId="8" xfId="0" applyFont="1" applyFill="1" applyBorder="1" applyAlignment="1">
      <alignment horizontal="left" indent="3"/>
    </xf>
    <xf numFmtId="0" fontId="6" fillId="3" borderId="3" xfId="0" applyFont="1" applyFill="1" applyBorder="1" applyAlignment="1">
      <alignment horizontal="left" indent="3"/>
    </xf>
    <xf numFmtId="0" fontId="6" fillId="3" borderId="9" xfId="0" applyFont="1" applyFill="1" applyBorder="1" applyAlignment="1">
      <alignment horizontal="left" indent="3"/>
    </xf>
    <xf numFmtId="0" fontId="6" fillId="3" borderId="1" xfId="0" applyFont="1" applyFill="1" applyBorder="1" applyAlignment="1">
      <alignment horizontal="left" indent="3"/>
    </xf>
    <xf numFmtId="8" fontId="0" fillId="3" borderId="8" xfId="0" applyNumberFormat="1" applyFill="1" applyBorder="1" applyAlignment="1">
      <alignment horizontal="center"/>
    </xf>
    <xf numFmtId="8" fontId="0" fillId="3" borderId="2" xfId="0" applyNumberFormat="1" applyFill="1" applyBorder="1" applyAlignment="1">
      <alignment horizontal="center"/>
    </xf>
    <xf numFmtId="0" fontId="6" fillId="3" borderId="3" xfId="0" applyFont="1" applyFill="1" applyBorder="1" applyAlignment="1">
      <alignment horizontal="left" indent="3"/>
    </xf>
    <xf numFmtId="8" fontId="0" fillId="3" borderId="9" xfId="0" applyNumberFormat="1" applyFill="1" applyBorder="1" applyAlignment="1">
      <alignment horizontal="center"/>
    </xf>
    <xf numFmtId="8" fontId="0" fillId="3" borderId="4" xfId="0" applyNumberFormat="1" applyFill="1" applyBorder="1" applyAlignment="1">
      <alignment horizontal="center"/>
    </xf>
    <xf numFmtId="0" fontId="0" fillId="3" borderId="0" xfId="0" applyFill="1"/>
    <xf numFmtId="168" fontId="0" fillId="3" borderId="0" xfId="0" applyNumberFormat="1" applyFill="1" applyAlignment="1">
      <alignment horizontal="center"/>
    </xf>
    <xf numFmtId="0" fontId="4" fillId="3" borderId="0" xfId="0" applyFont="1" applyFill="1"/>
    <xf numFmtId="0" fontId="4" fillId="5" borderId="0" xfId="0" applyFont="1" applyFill="1" applyAlignment="1">
      <alignment horizontal="center"/>
    </xf>
    <xf numFmtId="168" fontId="0" fillId="5" borderId="0" xfId="0" applyNumberFormat="1" applyFill="1"/>
    <xf numFmtId="168" fontId="0" fillId="0" borderId="0" xfId="0" applyNumberFormat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9" fontId="0" fillId="0" borderId="10" xfId="0" applyNumberFormat="1" applyBorder="1" applyAlignment="1">
      <alignment horizontal="center"/>
    </xf>
    <xf numFmtId="0" fontId="5" fillId="6" borderId="0" xfId="3" applyFont="1" applyFill="1"/>
    <xf numFmtId="0" fontId="3" fillId="6" borderId="0" xfId="3" applyFont="1" applyFill="1" applyAlignment="1">
      <alignment horizont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APP!$C$31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APP!$B$32:$B$37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</c:v>
                </c:pt>
                <c:pt idx="3">
                  <c:v>FOFOs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APP!$C$32:$C$37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08-4091-8526-A7DF213C7B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9526</xdr:colOff>
      <xdr:row>0</xdr:row>
      <xdr:rowOff>0</xdr:rowOff>
    </xdr:from>
    <xdr:to>
      <xdr:col>4</xdr:col>
      <xdr:colOff>7607</xdr:colOff>
      <xdr:row>6</xdr:row>
      <xdr:rowOff>114300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751313A-F0A4-4985-415E-D3EF501648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470" b="36512"/>
        <a:stretch>
          <a:fillRect/>
        </a:stretch>
      </xdr:blipFill>
      <xdr:spPr>
        <a:xfrm>
          <a:off x="295276" y="0"/>
          <a:ext cx="5074906" cy="1200150"/>
        </a:xfrm>
        <a:prstGeom prst="rect">
          <a:avLst/>
        </a:prstGeom>
      </xdr:spPr>
    </xdr:pic>
    <xdr:clientData/>
  </xdr:twoCellAnchor>
  <xdr:twoCellAnchor>
    <xdr:from>
      <xdr:col>1</xdr:col>
      <xdr:colOff>56196</xdr:colOff>
      <xdr:row>39</xdr:row>
      <xdr:rowOff>46672</xdr:rowOff>
    </xdr:from>
    <xdr:to>
      <xdr:col>3</xdr:col>
      <xdr:colOff>788669</xdr:colOff>
      <xdr:row>54</xdr:row>
      <xdr:rowOff>116205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BEF3424-3930-BDDC-9626-6628FD87B8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B563D-D62B-4BAF-8E7A-98322EFCAE84}">
  <dimension ref="A8:F54"/>
  <sheetViews>
    <sheetView tabSelected="1" workbookViewId="0">
      <selection activeCell="E8" sqref="E8"/>
    </sheetView>
  </sheetViews>
  <sheetFormatPr defaultColWidth="0" defaultRowHeight="14.4" x14ac:dyDescent="0.3"/>
  <cols>
    <col min="1" max="1" width="4.109375" customWidth="1"/>
    <col min="2" max="2" width="32.33203125" bestFit="1" customWidth="1"/>
    <col min="3" max="3" width="29.21875" customWidth="1"/>
    <col min="4" max="4" width="12.5546875" bestFit="1" customWidth="1"/>
    <col min="5" max="5" width="4.21875" customWidth="1"/>
    <col min="6" max="6" width="11.88671875" hidden="1" customWidth="1"/>
    <col min="7" max="11" width="8.88671875" hidden="1" customWidth="1"/>
    <col min="12" max="16384" width="8.88671875" hidden="1"/>
  </cols>
  <sheetData>
    <row r="8" spans="2:4" ht="15" thickBot="1" x14ac:dyDescent="0.35"/>
    <row r="9" spans="2:4" ht="23.4" x14ac:dyDescent="0.3">
      <c r="B9" s="7" t="s">
        <v>15</v>
      </c>
      <c r="C9" s="8"/>
      <c r="D9" s="9"/>
    </row>
    <row r="10" spans="2:4" ht="15.6" x14ac:dyDescent="0.3">
      <c r="B10" s="26" t="s">
        <v>14</v>
      </c>
      <c r="C10" s="27"/>
      <c r="D10" s="10">
        <v>2000</v>
      </c>
    </row>
    <row r="11" spans="2:4" ht="15.6" x14ac:dyDescent="0.3">
      <c r="B11" s="26" t="s">
        <v>13</v>
      </c>
      <c r="C11" s="27"/>
      <c r="D11" s="5">
        <v>6.0000000000000001E-3</v>
      </c>
    </row>
    <row r="12" spans="2:4" ht="16.2" thickBot="1" x14ac:dyDescent="0.35">
      <c r="B12" s="28" t="s">
        <v>31</v>
      </c>
      <c r="C12" s="29"/>
      <c r="D12" s="6">
        <f>D10*30%</f>
        <v>600</v>
      </c>
    </row>
    <row r="13" spans="2:4" ht="15" thickBot="1" x14ac:dyDescent="0.35"/>
    <row r="14" spans="2:4" ht="43.2" customHeight="1" x14ac:dyDescent="0.3">
      <c r="B14" s="11" t="s">
        <v>5</v>
      </c>
      <c r="C14" s="12"/>
      <c r="D14" s="13"/>
    </row>
    <row r="15" spans="2:4" ht="15.6" x14ac:dyDescent="0.3">
      <c r="B15" s="26" t="s">
        <v>0</v>
      </c>
      <c r="C15" s="27"/>
      <c r="D15" s="14">
        <v>200</v>
      </c>
    </row>
    <row r="16" spans="2:4" ht="15.6" x14ac:dyDescent="0.3">
      <c r="B16" s="26" t="s">
        <v>1</v>
      </c>
      <c r="C16" s="27"/>
      <c r="D16" s="15">
        <v>10</v>
      </c>
    </row>
    <row r="17" spans="1:4" ht="15.6" x14ac:dyDescent="0.3">
      <c r="B17" s="26" t="s">
        <v>2</v>
      </c>
      <c r="C17" s="27"/>
      <c r="D17" s="16">
        <v>1.0789999999999999E-2</v>
      </c>
    </row>
    <row r="18" spans="1:4" ht="15.6" x14ac:dyDescent="0.3">
      <c r="B18" s="22" t="s">
        <v>3</v>
      </c>
      <c r="C18" s="23"/>
      <c r="D18" s="17">
        <f>FV(taxa_mensal,qtd_anos*12,aporte*-1)</f>
        <v>48656.842506034438</v>
      </c>
    </row>
    <row r="19" spans="1:4" ht="16.2" thickBot="1" x14ac:dyDescent="0.35">
      <c r="B19" s="24" t="s">
        <v>4</v>
      </c>
      <c r="C19" s="25"/>
      <c r="D19" s="18">
        <f>patrimonio*rendimento_carteira</f>
        <v>291.94105503620665</v>
      </c>
    </row>
    <row r="20" spans="1:4" ht="15" thickBot="1" x14ac:dyDescent="0.35"/>
    <row r="21" spans="1:4" ht="25.8" x14ac:dyDescent="0.3">
      <c r="B21" s="19" t="s">
        <v>11</v>
      </c>
      <c r="C21" s="20"/>
      <c r="D21" s="21" t="s">
        <v>12</v>
      </c>
    </row>
    <row r="22" spans="1:4" ht="15.6" x14ac:dyDescent="0.3">
      <c r="A22" s="2">
        <v>2</v>
      </c>
      <c r="B22" s="30" t="s">
        <v>6</v>
      </c>
      <c r="C22" s="31">
        <f>FV($D$17,$A22*12,$D$15*-1)</f>
        <v>5445.5254595290435</v>
      </c>
      <c r="D22" s="32">
        <f>C22*rendimento_carteira</f>
        <v>32.673152757174265</v>
      </c>
    </row>
    <row r="23" spans="1:4" ht="15.6" x14ac:dyDescent="0.3">
      <c r="A23" s="2">
        <v>5</v>
      </c>
      <c r="B23" s="30" t="s">
        <v>7</v>
      </c>
      <c r="C23" s="31">
        <f>FV($D$17,$A23*12,$D$15*-1)</f>
        <v>16755.382799697527</v>
      </c>
      <c r="D23" s="32">
        <f>C23*rendimento_carteira</f>
        <v>100.53229679818516</v>
      </c>
    </row>
    <row r="24" spans="1:4" ht="15.6" x14ac:dyDescent="0.3">
      <c r="A24" s="2">
        <v>10</v>
      </c>
      <c r="B24" s="30" t="s">
        <v>8</v>
      </c>
      <c r="C24" s="31">
        <f>FV($D$17,$A24*12,$D$15*-1)</f>
        <v>48656.842506034438</v>
      </c>
      <c r="D24" s="32">
        <f>C24*rendimento_carteira</f>
        <v>291.94105503620665</v>
      </c>
    </row>
    <row r="25" spans="1:4" ht="15.6" x14ac:dyDescent="0.3">
      <c r="A25" s="2">
        <v>20</v>
      </c>
      <c r="B25" s="30" t="s">
        <v>9</v>
      </c>
      <c r="C25" s="31">
        <f>FV($D$17,$A25*12,$D$15*-1)</f>
        <v>225039.68001941612</v>
      </c>
      <c r="D25" s="32">
        <f>C25*rendimento_carteira</f>
        <v>1350.2380801164968</v>
      </c>
    </row>
    <row r="26" spans="1:4" ht="16.2" thickBot="1" x14ac:dyDescent="0.35">
      <c r="A26" s="2">
        <v>30</v>
      </c>
      <c r="B26" s="33" t="s">
        <v>10</v>
      </c>
      <c r="C26" s="34">
        <f>FV($D$17,$A26*12,$D$15*-1)</f>
        <v>864433.93100094295</v>
      </c>
      <c r="D26" s="35">
        <f>C26*rendimento_carteira</f>
        <v>5186.6035860056581</v>
      </c>
    </row>
    <row r="28" spans="1:4" x14ac:dyDescent="0.3">
      <c r="B28" s="46" t="s">
        <v>20</v>
      </c>
      <c r="C28" s="46" t="s">
        <v>18</v>
      </c>
      <c r="D28" s="45"/>
    </row>
    <row r="29" spans="1:4" x14ac:dyDescent="0.3">
      <c r="B29" s="38" t="s">
        <v>19</v>
      </c>
      <c r="C29" s="37">
        <f>aporte</f>
        <v>200</v>
      </c>
      <c r="D29" s="36"/>
    </row>
    <row r="31" spans="1:4" x14ac:dyDescent="0.3">
      <c r="B31" s="39" t="s">
        <v>21</v>
      </c>
      <c r="C31" s="39" t="s">
        <v>22</v>
      </c>
      <c r="D31" s="39" t="s">
        <v>23</v>
      </c>
    </row>
    <row r="32" spans="1:4" x14ac:dyDescent="0.3">
      <c r="B32" s="1" t="s">
        <v>24</v>
      </c>
      <c r="C32" s="4">
        <f>VLOOKUP($C$28&amp;"-"&amp;B32,Apoio!$A:$D,4,FALSE)</f>
        <v>0.5</v>
      </c>
      <c r="D32" s="41">
        <f>C32*$C$29</f>
        <v>100</v>
      </c>
    </row>
    <row r="33" spans="2:4" x14ac:dyDescent="0.3">
      <c r="B33" s="1" t="s">
        <v>25</v>
      </c>
      <c r="C33" s="4">
        <f>VLOOKUP($C$28&amp;"-"&amp;B33,Apoio!$A:$D,4,FALSE)</f>
        <v>0.1</v>
      </c>
      <c r="D33" s="41">
        <f t="shared" ref="D33:D37" si="0">C33*$C$29</f>
        <v>20</v>
      </c>
    </row>
    <row r="34" spans="2:4" x14ac:dyDescent="0.3">
      <c r="B34" s="1" t="s">
        <v>26</v>
      </c>
      <c r="C34" s="4">
        <f>VLOOKUP($C$28&amp;"-"&amp;B34,Apoio!$A:$D,4,FALSE)</f>
        <v>0.05</v>
      </c>
      <c r="D34" s="41">
        <f t="shared" si="0"/>
        <v>10</v>
      </c>
    </row>
    <row r="35" spans="2:4" x14ac:dyDescent="0.3">
      <c r="B35" s="1" t="s">
        <v>27</v>
      </c>
      <c r="C35" s="4">
        <f>VLOOKUP($C$28&amp;"-"&amp;B35,Apoio!$A:$D,4,FALSE)</f>
        <v>0.05</v>
      </c>
      <c r="D35" s="41">
        <f t="shared" si="0"/>
        <v>10</v>
      </c>
    </row>
    <row r="36" spans="2:4" x14ac:dyDescent="0.3">
      <c r="B36" s="1" t="s">
        <v>28</v>
      </c>
      <c r="C36" s="4">
        <f>VLOOKUP($C$28&amp;"-"&amp;B36,Apoio!$A:$D,4,FALSE)</f>
        <v>0.2</v>
      </c>
      <c r="D36" s="41">
        <f t="shared" si="0"/>
        <v>40</v>
      </c>
    </row>
    <row r="37" spans="2:4" x14ac:dyDescent="0.3">
      <c r="B37" s="1" t="s">
        <v>29</v>
      </c>
      <c r="C37" s="4">
        <f>VLOOKUP($C$28&amp;"-"&amp;B37,Apoio!$A:$D,4,FALSE)</f>
        <v>0.1</v>
      </c>
      <c r="D37" s="41">
        <f t="shared" si="0"/>
        <v>20</v>
      </c>
    </row>
    <row r="38" spans="2:4" x14ac:dyDescent="0.3">
      <c r="B38" s="3"/>
      <c r="C38" s="3"/>
      <c r="D38" s="40">
        <f>SUM(D32:D37)</f>
        <v>200</v>
      </c>
    </row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</sheetData>
  <mergeCells count="11">
    <mergeCell ref="B19:C19"/>
    <mergeCell ref="B14:D14"/>
    <mergeCell ref="B10:C10"/>
    <mergeCell ref="B11:C11"/>
    <mergeCell ref="B12:C12"/>
    <mergeCell ref="B9:D9"/>
    <mergeCell ref="B21:C21"/>
    <mergeCell ref="B15:C15"/>
    <mergeCell ref="B16:C16"/>
    <mergeCell ref="B17:C17"/>
    <mergeCell ref="B18:C18"/>
  </mergeCells>
  <dataValidations count="1">
    <dataValidation type="list" allowBlank="1" showInputMessage="1" showErrorMessage="1" sqref="C28" xr:uid="{3E2C3775-07F7-4FC9-B0BB-E8701C1610B9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AC337-718F-4FC1-BED6-D3E2128BCC6B}">
  <dimension ref="A2:D20"/>
  <sheetViews>
    <sheetView workbookViewId="0">
      <selection activeCell="A3" sqref="A3"/>
    </sheetView>
  </sheetViews>
  <sheetFormatPr defaultRowHeight="14.4" x14ac:dyDescent="0.3"/>
  <cols>
    <col min="1" max="1" width="30" bestFit="1" customWidth="1"/>
    <col min="2" max="2" width="11.77734375" bestFit="1" customWidth="1"/>
    <col min="3" max="3" width="18" bestFit="1" customWidth="1"/>
  </cols>
  <sheetData>
    <row r="2" spans="1:4" x14ac:dyDescent="0.3">
      <c r="A2" s="39" t="s">
        <v>32</v>
      </c>
      <c r="B2" s="39" t="s">
        <v>20</v>
      </c>
      <c r="C2" s="39" t="s">
        <v>21</v>
      </c>
      <c r="D2" s="39" t="s">
        <v>30</v>
      </c>
    </row>
    <row r="3" spans="1:4" x14ac:dyDescent="0.3">
      <c r="A3" t="str">
        <f>B3&amp;"-"&amp;C3</f>
        <v>Conservador-PAPEL</v>
      </c>
      <c r="B3" t="s">
        <v>16</v>
      </c>
      <c r="C3" s="1" t="s">
        <v>24</v>
      </c>
      <c r="D3" s="4">
        <v>0.3</v>
      </c>
    </row>
    <row r="4" spans="1:4" x14ac:dyDescent="0.3">
      <c r="A4" t="str">
        <f t="shared" ref="A4:A20" si="0">B4&amp;"-"&amp;C4</f>
        <v>Conservador-TIJOLO</v>
      </c>
      <c r="B4" t="s">
        <v>16</v>
      </c>
      <c r="C4" s="1" t="s">
        <v>25</v>
      </c>
      <c r="D4" s="4">
        <v>0.5</v>
      </c>
    </row>
    <row r="5" spans="1:4" x14ac:dyDescent="0.3">
      <c r="A5" t="str">
        <f t="shared" si="0"/>
        <v>Conservador-HIBRIDO</v>
      </c>
      <c r="B5" t="s">
        <v>16</v>
      </c>
      <c r="C5" s="1" t="s">
        <v>26</v>
      </c>
      <c r="D5" s="4">
        <v>0.1</v>
      </c>
    </row>
    <row r="6" spans="1:4" x14ac:dyDescent="0.3">
      <c r="A6" t="str">
        <f t="shared" si="0"/>
        <v>Conservador-FOFOs</v>
      </c>
      <c r="B6" t="s">
        <v>16</v>
      </c>
      <c r="C6" s="1" t="s">
        <v>27</v>
      </c>
      <c r="D6" s="4">
        <v>0.1</v>
      </c>
    </row>
    <row r="7" spans="1:4" x14ac:dyDescent="0.3">
      <c r="A7" t="str">
        <f t="shared" si="0"/>
        <v>Conservador-DESENVOLVIMENTO</v>
      </c>
      <c r="B7" t="s">
        <v>16</v>
      </c>
      <c r="C7" s="1" t="s">
        <v>28</v>
      </c>
      <c r="D7" s="4">
        <v>0</v>
      </c>
    </row>
    <row r="8" spans="1:4" x14ac:dyDescent="0.3">
      <c r="A8" t="str">
        <f t="shared" si="0"/>
        <v>Conservador-HOTELARIAS</v>
      </c>
      <c r="B8" t="s">
        <v>16</v>
      </c>
      <c r="C8" s="1" t="s">
        <v>29</v>
      </c>
      <c r="D8" s="4">
        <v>0</v>
      </c>
    </row>
    <row r="9" spans="1:4" x14ac:dyDescent="0.3">
      <c r="A9" s="42" t="str">
        <f t="shared" si="0"/>
        <v>Moderado-PAPEL</v>
      </c>
      <c r="B9" s="42" t="s">
        <v>17</v>
      </c>
      <c r="C9" s="43" t="s">
        <v>24</v>
      </c>
      <c r="D9" s="44">
        <v>0.32</v>
      </c>
    </row>
    <row r="10" spans="1:4" x14ac:dyDescent="0.3">
      <c r="A10" t="str">
        <f t="shared" si="0"/>
        <v>Moderado-TIJOLO</v>
      </c>
      <c r="B10" t="s">
        <v>17</v>
      </c>
      <c r="C10" s="1" t="s">
        <v>25</v>
      </c>
      <c r="D10" s="4">
        <v>0.35</v>
      </c>
    </row>
    <row r="11" spans="1:4" x14ac:dyDescent="0.3">
      <c r="A11" t="str">
        <f t="shared" si="0"/>
        <v>Moderado-HIBRIDO</v>
      </c>
      <c r="B11" t="s">
        <v>17</v>
      </c>
      <c r="C11" s="1" t="s">
        <v>26</v>
      </c>
      <c r="D11" s="4">
        <v>0.08</v>
      </c>
    </row>
    <row r="12" spans="1:4" x14ac:dyDescent="0.3">
      <c r="A12" t="str">
        <f t="shared" si="0"/>
        <v>Moderado-FOFOs</v>
      </c>
      <c r="B12" t="s">
        <v>17</v>
      </c>
      <c r="C12" s="1" t="s">
        <v>27</v>
      </c>
      <c r="D12" s="4">
        <v>0.05</v>
      </c>
    </row>
    <row r="13" spans="1:4" x14ac:dyDescent="0.3">
      <c r="A13" t="str">
        <f t="shared" si="0"/>
        <v>Moderado-DESENVOLVIMENTO</v>
      </c>
      <c r="B13" t="s">
        <v>17</v>
      </c>
      <c r="C13" s="1" t="s">
        <v>28</v>
      </c>
      <c r="D13" s="4">
        <v>0.1</v>
      </c>
    </row>
    <row r="14" spans="1:4" x14ac:dyDescent="0.3">
      <c r="A14" t="str">
        <f t="shared" si="0"/>
        <v>Moderado-HOTELARIAS</v>
      </c>
      <c r="B14" t="s">
        <v>17</v>
      </c>
      <c r="C14" s="1" t="s">
        <v>29</v>
      </c>
      <c r="D14" s="4">
        <v>0.1</v>
      </c>
    </row>
    <row r="15" spans="1:4" x14ac:dyDescent="0.3">
      <c r="A15" s="42" t="str">
        <f t="shared" si="0"/>
        <v>Agressivo-PAPEL</v>
      </c>
      <c r="B15" s="42" t="s">
        <v>18</v>
      </c>
      <c r="C15" s="43" t="s">
        <v>24</v>
      </c>
      <c r="D15" s="44">
        <v>0.5</v>
      </c>
    </row>
    <row r="16" spans="1:4" x14ac:dyDescent="0.3">
      <c r="A16" t="str">
        <f t="shared" si="0"/>
        <v>Agressivo-TIJOLO</v>
      </c>
      <c r="B16" t="s">
        <v>18</v>
      </c>
      <c r="C16" s="1" t="s">
        <v>25</v>
      </c>
      <c r="D16" s="4">
        <v>0.1</v>
      </c>
    </row>
    <row r="17" spans="1:4" x14ac:dyDescent="0.3">
      <c r="A17" t="str">
        <f t="shared" si="0"/>
        <v>Agressivo-HIBRIDO</v>
      </c>
      <c r="B17" t="s">
        <v>18</v>
      </c>
      <c r="C17" s="1" t="s">
        <v>26</v>
      </c>
      <c r="D17" s="4">
        <v>0.05</v>
      </c>
    </row>
    <row r="18" spans="1:4" x14ac:dyDescent="0.3">
      <c r="A18" t="str">
        <f t="shared" si="0"/>
        <v>Agressivo-FOFOs</v>
      </c>
      <c r="B18" t="s">
        <v>18</v>
      </c>
      <c r="C18" s="1" t="s">
        <v>27</v>
      </c>
      <c r="D18" s="4">
        <v>0.05</v>
      </c>
    </row>
    <row r="19" spans="1:4" x14ac:dyDescent="0.3">
      <c r="A19" t="str">
        <f t="shared" si="0"/>
        <v>Agressivo-DESENVOLVIMENTO</v>
      </c>
      <c r="B19" t="s">
        <v>18</v>
      </c>
      <c r="C19" s="1" t="s">
        <v>28</v>
      </c>
      <c r="D19" s="4">
        <v>0.2</v>
      </c>
    </row>
    <row r="20" spans="1:4" x14ac:dyDescent="0.3">
      <c r="A20" t="str">
        <f t="shared" si="0"/>
        <v>Agressivo-HOTELARIAS</v>
      </c>
      <c r="B20" t="s">
        <v>18</v>
      </c>
      <c r="C20" s="1" t="s">
        <v>29</v>
      </c>
      <c r="D20" s="4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Apoio</vt:lpstr>
      <vt:lpstr>aporte</vt:lpstr>
      <vt:lpstr>patrimonio</vt:lpstr>
      <vt:lpstr>qtd_anos</vt:lpstr>
      <vt:lpstr>rendimento_carteira</vt:lpstr>
      <vt:lpstr>salario</vt:lpstr>
      <vt:lpstr>susgestao_insvestmeto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 02 MG</dc:creator>
  <cp:lastModifiedBy>Office  02 MG</cp:lastModifiedBy>
  <dcterms:created xsi:type="dcterms:W3CDTF">2026-02-03T10:52:33Z</dcterms:created>
  <dcterms:modified xsi:type="dcterms:W3CDTF">2026-02-03T14:27:46Z</dcterms:modified>
</cp:coreProperties>
</file>